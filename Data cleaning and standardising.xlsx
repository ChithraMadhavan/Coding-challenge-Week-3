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 ANALYTICS COURSE\Weely excercises\Week 3\"/>
    </mc:Choice>
  </mc:AlternateContent>
  <xr:revisionPtr revIDLastSave="0" documentId="13_ncr:1_{742FF764-39DB-4D4A-AA0F-7ED8F9EB66A8}" xr6:coauthVersionLast="47" xr6:coauthVersionMax="47" xr10:uidLastSave="{00000000-0000-0000-0000-000000000000}"/>
  <bookViews>
    <workbookView xWindow="-110" yWindow="-110" windowWidth="19420" windowHeight="11500" activeTab="1" xr2:uid="{0617B397-2635-4ACE-A8B3-9D3D84B98A2E}"/>
  </bookViews>
  <sheets>
    <sheet name="Detail1" sheetId="3" r:id="rId1"/>
    <sheet name="Dataset  used for practicing" sheetId="2" r:id="rId2"/>
    <sheet name="Original Data set" sheetId="1" r:id="rId3"/>
  </sheets>
  <definedNames>
    <definedName name="ExternalData_1" localSheetId="1" hidden="1">'Dataset  used for practicing'!$A$1:$H$13</definedName>
    <definedName name="ExternalData_1" localSheetId="2" hidden="1">'Original Data set'!$A$1:$F$13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" l="1" a="1"/>
  <c r="M18" i="2" s="1"/>
  <c r="M16" i="2"/>
  <c r="L2" i="2"/>
  <c r="L3" i="2"/>
  <c r="L4" i="2"/>
  <c r="L5" i="2"/>
  <c r="L6" i="2"/>
  <c r="L7" i="2"/>
  <c r="L8" i="2"/>
  <c r="L9" i="2"/>
  <c r="L10" i="2"/>
  <c r="L11" i="2"/>
  <c r="L12" i="2"/>
  <c r="L13" i="2"/>
  <c r="J3" i="2"/>
  <c r="J4" i="2"/>
  <c r="J5" i="2"/>
  <c r="J6" i="2"/>
  <c r="J7" i="2"/>
  <c r="J8" i="2"/>
  <c r="J9" i="2"/>
  <c r="J10" i="2"/>
  <c r="J11" i="2"/>
  <c r="J12" i="2"/>
  <c r="J13" i="2"/>
  <c r="I2" i="2"/>
  <c r="I3" i="2"/>
  <c r="I4" i="2"/>
  <c r="I5" i="2"/>
  <c r="I6" i="2"/>
  <c r="I7" i="2"/>
  <c r="I8" i="2"/>
  <c r="I9" i="2"/>
  <c r="I10" i="2"/>
  <c r="I11" i="2"/>
  <c r="I12" i="2"/>
  <c r="I13" i="2"/>
  <c r="J2" i="2"/>
  <c r="K2" i="2"/>
  <c r="K3" i="2"/>
  <c r="K4" i="2"/>
  <c r="K5" i="2"/>
  <c r="K6" i="2"/>
  <c r="K7" i="2"/>
  <c r="K8" i="2"/>
  <c r="K9" i="2"/>
  <c r="K10" i="2"/>
  <c r="K11" i="2"/>
  <c r="K12" i="2"/>
  <c r="K13" i="2"/>
  <c r="I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66E022-E017-472B-987D-4EDCE9BF63CB}" keepAlive="1" name="Query - Dataset example1" description="Connection to the 'Dataset example1' query in the workbook." type="5" refreshedVersion="8" background="1" saveData="1">
    <dbPr connection="Provider=Microsoft.Mashup.OleDb.1;Data Source=$Workbook$;Location=&quot;Dataset example1&quot;;Extended Properties=&quot;&quot;" command="SELECT * FROM [Dataset example1]"/>
  </connection>
  <connection id="2" xr16:uid="{52BC0CEE-CA39-4BB5-98CE-656433C6216B}" keepAlive="1" name="Query - Dataset example1 (2)" description="Connection to the 'Dataset example1 (2)' query in the workbook." type="5" refreshedVersion="8" background="1" saveData="1">
    <dbPr connection="Provider=Microsoft.Mashup.OleDb.1;Data Source=$Workbook$;Location=&quot;Dataset example1 (2)&quot;;Extended Properties=&quot;&quot;" command="SELECT * FROM [Dataset example1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<sst xmlns="http://schemas.openxmlformats.org/spreadsheetml/2006/main" count="242" uniqueCount="99">
  <si>
    <t xml:space="preserve"> Transaction_ID </t>
  </si>
  <si>
    <t xml:space="preserve"> Product_Name </t>
  </si>
  <si>
    <t xml:space="preserve"> Region_Product_Code </t>
  </si>
  <si>
    <t xml:space="preserve"> Sales_Amount </t>
  </si>
  <si>
    <t xml:space="preserve"> Quantity </t>
  </si>
  <si>
    <t xml:space="preserve"> Date       </t>
  </si>
  <si>
    <t xml:space="preserve"> 1001           </t>
  </si>
  <si>
    <t xml:space="preserve"> iphone 13    </t>
  </si>
  <si>
    <t xml:space="preserve"> EU_iPhone13_A1      </t>
  </si>
  <si>
    <t xml:space="preserve"> $1,200       </t>
  </si>
  <si>
    <t xml:space="preserve"> 2        </t>
  </si>
  <si>
    <t xml:space="preserve"> 01-01-2025 </t>
  </si>
  <si>
    <t xml:space="preserve"> 1002           </t>
  </si>
  <si>
    <t xml:space="preserve"> iPhone13     </t>
  </si>
  <si>
    <t xml:space="preserve"> 1200€        </t>
  </si>
  <si>
    <t xml:space="preserve"> 1003           </t>
  </si>
  <si>
    <t xml:space="preserve"> IPHONE 13    </t>
  </si>
  <si>
    <t xml:space="preserve"> 1,200        </t>
  </si>
  <si>
    <t xml:space="preserve"> 1004           </t>
  </si>
  <si>
    <t xml:space="preserve"> Samsung S21  </t>
  </si>
  <si>
    <t xml:space="preserve"> US_SamsungS21_B2    </t>
  </si>
  <si>
    <t xml:space="preserve"> $900         </t>
  </si>
  <si>
    <t xml:space="preserve"> 1        </t>
  </si>
  <si>
    <t xml:space="preserve"> 02-01-2025 </t>
  </si>
  <si>
    <t xml:space="preserve"> 1005           </t>
  </si>
  <si>
    <t xml:space="preserve"> samsung s21  </t>
  </si>
  <si>
    <t xml:space="preserve"> 900 USD      </t>
  </si>
  <si>
    <t xml:space="preserve"> 1006           </t>
  </si>
  <si>
    <t xml:space="preserve"> SamsungS21   </t>
  </si>
  <si>
    <t xml:space="preserve"> 900          </t>
  </si>
  <si>
    <t xml:space="preserve"> 1007           </t>
  </si>
  <si>
    <t xml:space="preserve"> MacBook Pro  </t>
  </si>
  <si>
    <t xml:space="preserve"> EU_MacBookPro_C3    </t>
  </si>
  <si>
    <t xml:space="preserve"> $2,000       </t>
  </si>
  <si>
    <t xml:space="preserve"> 03-01-2025 </t>
  </si>
  <si>
    <t xml:space="preserve"> 1008           </t>
  </si>
  <si>
    <t xml:space="preserve"> macbook pro  </t>
  </si>
  <si>
    <t xml:space="preserve"> €2000        </t>
  </si>
  <si>
    <t xml:space="preserve"> 1009           </t>
  </si>
  <si>
    <t xml:space="preserve"> Mac Book Pro </t>
  </si>
  <si>
    <t xml:space="preserve"> 2000         </t>
  </si>
  <si>
    <t xml:space="preserve"> one      </t>
  </si>
  <si>
    <t xml:space="preserve"> 1010           </t>
  </si>
  <si>
    <t xml:space="preserve"> i phone 13   </t>
  </si>
  <si>
    <t xml:space="preserve"> 1011           </t>
  </si>
  <si>
    <t xml:space="preserve"> iPhone 13    </t>
  </si>
  <si>
    <t xml:space="preserve"> 1012           </t>
  </si>
  <si>
    <t>iPhone13</t>
  </si>
  <si>
    <t>two</t>
  </si>
  <si>
    <t>SamsungS21</t>
  </si>
  <si>
    <t>1)Here a new colum clean_product added . Used trim and Proper function to fix the extra spaces and casing</t>
  </si>
  <si>
    <t xml:space="preserve"> Region</t>
  </si>
  <si>
    <t>Product</t>
  </si>
  <si>
    <t xml:space="preserve">Code </t>
  </si>
  <si>
    <t xml:space="preserve"> EU</t>
  </si>
  <si>
    <t xml:space="preserve">A1      </t>
  </si>
  <si>
    <t xml:space="preserve"> US</t>
  </si>
  <si>
    <t xml:space="preserve">B2    </t>
  </si>
  <si>
    <t>MacBookPro</t>
  </si>
  <si>
    <t xml:space="preserve">C3    </t>
  </si>
  <si>
    <t>2) Used the text to columns option to split the Region</t>
  </si>
  <si>
    <t>Clean sales</t>
  </si>
  <si>
    <t>Sales amount</t>
  </si>
  <si>
    <t>3)The formula removes currency symbols and text, cleans spaces, and converts the result into a proper numeric value (colum I)</t>
  </si>
  <si>
    <t>Clean Quantity</t>
  </si>
  <si>
    <t>Two</t>
  </si>
  <si>
    <t>4)Created a new column(J) Clean_Quantity that converts numeric values as-is and text numbers like “one” or “two” into numbers using IF, LOWER, TRIM, and MATCH</t>
  </si>
  <si>
    <t>one</t>
  </si>
  <si>
    <t>Clean Product</t>
  </si>
  <si>
    <t>5) standardise the product name columnby creating a new column(K) hat removes extra spaces, fixes inconsistent casing, and optionally corrects common spelling variations so all product names are uniform for analysis.</t>
  </si>
  <si>
    <t>6) Create a Valid_Record column that marks a row “Valid” only if Clean Sales and Clean Quantity are numeric and greater than zero, otherwise mark it “Invalid.”</t>
  </si>
  <si>
    <t>7)emove exact accidental duplicates by selecting Clean_Product, Region, Date, Clean_Sales, and Clean_Quantity columns, then use Data → Remove Duplicates, keeping legitimate repeated transactions.</t>
  </si>
  <si>
    <t>Valid Record</t>
  </si>
  <si>
    <t>average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</si>
  <si>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</si>
  <si>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</si>
  <si>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</si>
  <si>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</si>
  <si>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</si>
  <si>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</si>
  <si>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</si>
  <si>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</si>
  <si>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</si>
  <si>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</si>
  <si>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</si>
  <si>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</si>
  <si>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Grand Total</t>
  </si>
  <si>
    <t>Sum of Clean sales</t>
  </si>
  <si>
    <t>Sum of Clean Quantity</t>
  </si>
  <si>
    <t>Valid</t>
  </si>
  <si>
    <t>8)Apply a filter on the `Valid_Record` column and select only `"Valid"` rows for analysis.</t>
  </si>
  <si>
    <t>9)Calculate the average and standard deviation of Clean Sales using only rows where Valid_Record = "Valid" with AVERAGEIFS and STDEV.S(FILTER())</t>
  </si>
  <si>
    <t>Standard Deviation</t>
  </si>
  <si>
    <r>
      <t xml:space="preserve">The purpose is to look at only </t>
    </r>
    <r>
      <rPr>
        <b/>
        <sz val="14"/>
        <color theme="1"/>
        <rFont val="Aptos Narrow"/>
        <family val="2"/>
        <scheme val="minor"/>
      </rPr>
      <t>correct sales data</t>
    </r>
    <r>
      <rPr>
        <sz val="14"/>
        <color theme="1"/>
        <rFont val="Aptos Narrow"/>
        <family val="2"/>
        <scheme val="minor"/>
      </rPr>
      <t>.</t>
    </r>
  </si>
  <si>
    <r>
      <t xml:space="preserve">It shows the </t>
    </r>
    <r>
      <rPr>
        <b/>
        <sz val="14"/>
        <color theme="1"/>
        <rFont val="Aptos Narrow"/>
        <family val="2"/>
        <scheme val="minor"/>
      </rPr>
      <t>average sales</t>
    </r>
    <r>
      <rPr>
        <sz val="14"/>
        <color theme="1"/>
        <rFont val="Aptos Narrow"/>
        <family val="2"/>
        <scheme val="minor"/>
      </rPr>
      <t xml:space="preserve"> and how much the sales </t>
    </r>
    <r>
      <rPr>
        <b/>
        <sz val="14"/>
        <color theme="1"/>
        <rFont val="Aptos Narrow"/>
        <family val="2"/>
        <scheme val="minor"/>
      </rPr>
      <t>vary</t>
    </r>
    <r>
      <rPr>
        <sz val="14"/>
        <color theme="1"/>
        <rFont val="Aptos Narrow"/>
        <family val="2"/>
        <scheme val="minor"/>
      </rPr>
      <t xml:space="preserve"> without including wrong or invalid entries.</t>
    </r>
  </si>
  <si>
    <r>
      <t xml:space="preserve">10)The pivot table summarizes only valid rows, showing total or average </t>
    </r>
    <r>
      <rPr>
        <sz val="14"/>
        <color theme="1"/>
        <rFont val="Arial Unicode MS"/>
      </rPr>
      <t>Clean Sales</t>
    </r>
    <r>
      <rPr>
        <sz val="14"/>
        <color theme="1"/>
        <rFont val="Aptos Narrow"/>
        <family val="2"/>
        <scheme val="minor"/>
      </rPr>
      <t xml:space="preserve"> and total </t>
    </r>
    <r>
      <rPr>
        <sz val="14"/>
        <color theme="1"/>
        <rFont val="Arial Unicode MS"/>
      </rPr>
      <t>Clean Quantity</t>
    </r>
    <r>
      <rPr>
        <sz val="14"/>
        <color theme="1"/>
        <rFont val="Aptos Narrow"/>
        <family val="2"/>
        <scheme val="minor"/>
      </rPr>
      <t xml:space="preserve"> by product, region, or date.</t>
    </r>
  </si>
  <si>
    <r>
      <t xml:space="preserve">11)we can prevent future issues by </t>
    </r>
    <r>
      <rPr>
        <b/>
        <sz val="14"/>
        <color theme="1"/>
        <rFont val="Aptos Narrow"/>
        <family val="2"/>
        <scheme val="minor"/>
      </rPr>
      <t>using data validation, standard templates, consistent formatting, and automatic cleaning formulas</t>
    </r>
    <r>
      <rPr>
        <sz val="14"/>
        <color theme="1"/>
        <rFont val="Aptos Narrow"/>
        <family val="2"/>
        <scheme val="minor"/>
      </rPr>
      <t xml:space="preserve"> to ensure new data is accurate.</t>
    </r>
  </si>
  <si>
    <t/>
  </si>
  <si>
    <t>Details for Sum of Clean sales - Clean Product: 1006, Valid Record: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</si>
</sst>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pivotButton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39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[Book1.xlsx]Dataset  used for practicing!Sales Pivot Table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</a:t>
            </a:r>
            <a:endParaRPr lang="en-US"/>
          </a:p>
        </c:rich>
      </c:tx>
      <c:layout>
        <c:manualLayout>
          <c:xMode val="edge"/>
          <c:yMode val="edge"/>
          <c:x val="0.61886111111111108"/>
          <c:y val="9.055118110236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 used for practicing'!$O$3</c:f>
              <c:strCache>
                <c:ptCount val="1"/>
                <c:pt idx="0">
                  <c:v>Sum of Clean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'Dataset  used for practicing'!$N$4:$N$16</c:f>
              <c:strCache>
                <c:ptCount val="12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</c:strCache>
            </c:strRef>
          </c:cat>
          <c:val>
            <c:numRef>
              <c:f>'Dataset  used for practicing'!$O$4:$O$16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6-4ED8-8242-C48576B78B3E}"/>
            </c:ext>
          </c:extLst>
        </c:ser>
        <c:ser>
          <c:idx val="1"/>
          <c:order val="1"/>
          <c:tx>
            <c:strRef>
              <c:f>'Dataset  used for practicing'!$P$3</c:f>
              <c:strCache>
                <c:ptCount val="1"/>
                <c:pt idx="0">
                  <c:v>Sum of Clean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'Dataset  used for practicing'!$N$4:$N$16</c:f>
              <c:strCache>
                <c:ptCount val="12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</c:strCache>
            </c:strRef>
          </c:cat>
          <c:val>
            <c:numRef>
              <c:f>'Dataset  used for practicing'!$P$4:$P$16</c:f>
              <c:numCache>
                <c:formatCode>General</c:formatCode>
                <c:ptCount val="1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6-4ED8-8242-C48576B78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361216"/>
        <c:axId val="1093372736"/>
      </c:barChart>
      <c:catAx>
        <c:axId val="109336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Clean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3372736"/>
        <c:crosses val="autoZero"/>
        <c:auto val="1"/>
        <c:lblAlgn val="ctr"/>
        <c:lblOffset val="100"/>
        <c:noMultiLvlLbl val="0"/>
      </c:catAx>
      <c:valAx>
        <c:axId val="10933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33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490189</xdr:colOff>
      <xdr:row>17</xdr:row>
      <xdr:rowOff>41662</xdr:rowOff>
    </xdr:from>
    <xdr:to>
      <xdr:col>20</xdr:col>
      <xdr:colOff>75116</xdr:colOff>
      <xdr:row>27</xdr:row>
      <xdr:rowOff>221630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216EC-0C33-71E6-A5F5-8E3777F95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thra Ganga" refreshedDate="46120.080990277776" createdVersion="8" refreshedVersion="8" minRefreshableVersion="3" recordCount="12" xr:uid="{EA0719E9-92E4-4BC0-8254-C16632B74D8A}">
  <cacheSource type="worksheet">
    <worksheetSource name="Dataset_example1"/>
  </cacheSource>
  <cacheFields count="12">
    <cacheField name=" Transaction_ID " numFmtId="0">
      <sharedItems/>
    </cacheField>
    <cacheField name=" Product_Name " numFmtId="0">
      <sharedItems/>
    </cacheField>
    <cacheField name=" Region" numFmtId="0">
      <sharedItems/>
    </cacheField>
    <cacheField name="Product" numFmtId="0">
      <sharedItems/>
    </cacheField>
    <cacheField name="Code " numFmtId="0">
      <sharedItems/>
    </cacheField>
    <cacheField name="Sales amount" numFmtId="0">
      <sharedItems/>
    </cacheField>
    <cacheField name=" Quantity " numFmtId="0">
      <sharedItems/>
    </cacheField>
    <cacheField name=" Date       " numFmtId="0">
      <sharedItems/>
    </cacheField>
    <cacheField name="Clean sales" numFmtId="0">
      <sharedItems containsSemiMixedTypes="0" containsString="0" containsNumber="1" containsInteger="1" minValue="900" maxValue="2000"/>
    </cacheField>
    <cacheField name="Clean Quantity" numFmtId="0">
      <sharedItems containsMixedTypes="1" containsNumber="1" containsInteger="1" minValue="1" maxValue="2"/>
    </cacheField>
    <cacheField name="Clean Product" numFmtId="0">
      <sharedItems count="12">
        <s v="1001"/>
        <s v="1002"/>
        <s v="1003"/>
        <s v="1004"/>
        <s v="1005"/>
        <s v="1006"/>
        <s v="1007"/>
        <s v="1008"/>
        <s v="1009"/>
        <s v="1010"/>
        <s v="1011"/>
        <s v="1012"/>
      </sharedItems>
    </cacheField>
    <cacheField name="Valid Record" numFmtId="0">
      <sharedItems count="1">
        <s v="Val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 1001           "/>
    <s v=" iphone 13    "/>
    <s v=" EU"/>
    <s v="iPhone13"/>
    <s v="A1      "/>
    <s v=" $1,200       "/>
    <s v=" 2        "/>
    <s v=" 01-01-2025 "/>
    <n v="1200"/>
    <s v=""/>
    <x v="0"/>
    <x v="0"/>
  </r>
  <r>
    <s v=" 1002           "/>
    <s v=" iPhone13     "/>
    <s v=" EU"/>
    <s v="iPhone13"/>
    <s v="A1      "/>
    <s v=" 1200€        "/>
    <s v="Two"/>
    <s v=" 01-01-2025 "/>
    <n v="1200"/>
    <n v="2"/>
    <x v="1"/>
    <x v="0"/>
  </r>
  <r>
    <s v=" 1003           "/>
    <s v=" iphone 13    "/>
    <s v=" EU"/>
    <s v="iPhone13"/>
    <s v="A1      "/>
    <s v=" 1,200        "/>
    <s v="Two"/>
    <s v=" 01-01-2025 "/>
    <n v="1200"/>
    <n v="2"/>
    <x v="2"/>
    <x v="0"/>
  </r>
  <r>
    <s v=" 1004           "/>
    <s v=" Samsung S21  "/>
    <s v=" US"/>
    <s v="SamsungS21"/>
    <s v="B2    "/>
    <s v=" $900         "/>
    <s v="one"/>
    <s v=" 02-01-2025 "/>
    <n v="900"/>
    <n v="1"/>
    <x v="3"/>
    <x v="0"/>
  </r>
  <r>
    <s v=" 1005           "/>
    <s v=" Samsung S21  "/>
    <s v=" US"/>
    <s v="SamsungS21"/>
    <s v="B2    "/>
    <s v=" 900 USD      "/>
    <s v=" 1        "/>
    <s v=" 02-01-2025 "/>
    <n v="900"/>
    <s v=""/>
    <x v="4"/>
    <x v="0"/>
  </r>
  <r>
    <s v=" 1006           "/>
    <s v=" SamsungS21   "/>
    <s v=" US"/>
    <s v="SamsungS21"/>
    <s v="B2    "/>
    <s v=" 900          "/>
    <s v=" 1        "/>
    <s v=" 02-01-2025 "/>
    <n v="900"/>
    <s v=""/>
    <x v="5"/>
    <x v="0"/>
  </r>
  <r>
    <s v=" 1007           "/>
    <s v=" MacBook Pro  "/>
    <s v=" EU"/>
    <s v="MacBookPro"/>
    <s v="C3    "/>
    <s v=" $2,000       "/>
    <s v=" 1        "/>
    <s v=" 03-01-2025 "/>
    <n v="2000"/>
    <s v=""/>
    <x v="6"/>
    <x v="0"/>
  </r>
  <r>
    <s v=" 1008           "/>
    <s v=" MacBook Pro  "/>
    <s v=" EU"/>
    <s v="MacBookPro"/>
    <s v="C3    "/>
    <s v=" €2000        "/>
    <s v=" 1        "/>
    <s v=" 03-01-2025 "/>
    <n v="2000"/>
    <s v=""/>
    <x v="7"/>
    <x v="0"/>
  </r>
  <r>
    <s v=" 1009           "/>
    <s v=" Mac Book Pro "/>
    <s v=" EU"/>
    <s v="MacBookPro"/>
    <s v="C3    "/>
    <s v=" 2000         "/>
    <s v=" one      "/>
    <s v=" 03-01-2025 "/>
    <n v="2000"/>
    <n v="1"/>
    <x v="8"/>
    <x v="0"/>
  </r>
  <r>
    <s v=" 1010           "/>
    <s v=" i phone 13   "/>
    <s v=" EU"/>
    <s v="iPhone13"/>
    <s v="A1      "/>
    <s v=" $1,200       "/>
    <s v=" 2        "/>
    <s v=" 01-01-2025 "/>
    <n v="1200"/>
    <s v=""/>
    <x v="9"/>
    <x v="0"/>
  </r>
  <r>
    <s v=" 1011           "/>
    <s v=" iphone 13    "/>
    <s v=" EU"/>
    <s v="iPhone13"/>
    <s v="A1      "/>
    <s v=" $1,200       "/>
    <s v=" 2        "/>
    <s v=" 01-01-2025 "/>
    <n v="1200"/>
    <s v=""/>
    <x v="10"/>
    <x v="0"/>
  </r>
  <r>
    <s v=" 1012           "/>
    <s v=" iPhone13     "/>
    <s v=" EU"/>
    <s v="iPhone13"/>
    <s v="A1      "/>
    <s v=" $1,200       "/>
    <s v=" 2        "/>
    <s v=" 01-01-2025 "/>
    <n v="1200"/>
    <s v="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9ABDC-DE32-4305-953C-8FCEFF152F94}" name="Sales Pivot Tabl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lean Product">
  <location ref="N3:P16" firstHeaderRow="0" firstDataRow="1" firstDataCol="1" rowPageCount="1" colPageCount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2"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 of Clean Quantity" fld="9" baseField="10" baseItem="0"/>
    <dataField name="Sum of Clean sales" fld="8" baseField="0" baseItem="0"/>
  </dataFields>
  <formats count="6">
    <format dxfId="17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7916A1-C942-49FA-BF14-D2A3DADE9A25}" autoFormatId="16" applyNumberFormats="0" applyBorderFormats="0" applyFontFormats="0" applyPatternFormats="0" applyAlignmentFormats="0" applyWidthHeightFormats="0">
  <queryTableRefresh nextId="19" unboundColumnsRight="4">
    <queryTableFields count="12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9" dataBound="0" tableColumnId="9"/>
      <queryTableField id="11" dataBound="0" tableColumnId="8"/>
      <queryTableField id="6" name="Column6" tableColumnId="6"/>
      <queryTableField id="7" name="Column7" tableColumnId="7"/>
      <queryTableField id="10" dataBound="0" tableColumnId="1"/>
      <queryTableField id="13" dataBound="0" tableColumnId="11"/>
      <queryTableField id="14" dataBound="0" tableColumnId="12"/>
      <queryTableField id="17" dataBound="0" tableColumnId="15"/>
    </queryTableFields>
    <queryTableDeletedFields count="2">
      <deletedField name="Column1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A710F3-E346-45C7-A480-73596CB9FC2F}" autoFormatId="16" applyNumberFormats="0" applyBorderFormats="0" applyFontFormats="0" applyPatternFormats="0" applyAlignmentFormats="0" applyWidthHeightFormats="0">
  <queryTableRefresh nextId="10">
    <queryTableFields count="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1"/>
      <deletedField name="Column8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AEA4E8-80A6-47C0-8ADA-283D71FECC6D}" name="Table3" displayName="Table3" ref="A3:L4" totalsRowShown="0">
  <autoFilter ref="A3:L4" xr:uid="{BCAEA4E8-80A6-47C0-8ADA-283D71FECC6D}"/>
  <tableColumns count="12">
    <tableColumn id="1" xr3:uid="{878E174F-301D-449B-90D3-B3485052E309}" name=" Transaction_ID "/>
    <tableColumn id="2" xr3:uid="{DF8B65C6-424C-4C2E-84F8-1CD9B2DF5730}" name=" Product_Name "/>
    <tableColumn id="3" xr3:uid="{71DA9488-F51B-486C-B087-87EAC597092D}" name=" Region"/>
    <tableColumn id="4" xr3:uid="{B059CFD3-3A85-4636-943B-954E674E01F9}" name="Product"/>
    <tableColumn id="5" xr3:uid="{0A755340-9D97-4E94-92EE-B9FEC8D2E382}" name="Code "/>
    <tableColumn id="6" xr3:uid="{FCD53A5A-3021-48BF-80BA-9ADBEB9BAA5D}" name="Sales amount"/>
    <tableColumn id="7" xr3:uid="{2047CB3D-D2A3-4A23-BD6B-4B6EC41B0053}" name=" Quantity "/>
    <tableColumn id="8" xr3:uid="{304F305C-2E66-4007-A66A-F8CEDCEA1C1E}" name=" Date       "/>
    <tableColumn id="9" xr3:uid="{80F77B04-8BE2-4C16-96F6-B6CB13193FA4}" name="Clean sales"/>
    <tableColumn id="10" xr3:uid="{79C4D68B-B81B-4672-8821-445798950264}" name="Clean Quantity"/>
    <tableColumn id="11" xr3:uid="{FAB3AC86-09A9-4EA1-8A93-5BDAE324D2E6}" name="Clean Product"/>
    <tableColumn id="12" xr3:uid="{A5490975-F7F8-438E-90EA-052E741B5BEC}" name="Valid Rec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F3828-1BDA-44F2-8CD0-00A1C6F63201}" name="Dataset_example1" displayName="Dataset_example1" ref="A1:L13" tableType="queryTable" totalsRowShown="0" headerRowDxfId="19" dataDxfId="18">
  <autoFilter ref="A1:L13" xr:uid="{586F3828-1BDA-44F2-8CD0-00A1C6F63201}"/>
  <tableColumns count="12">
    <tableColumn id="2" xr3:uid="{7092FEE8-B2B8-4945-B67C-0D8FD2635036}" uniqueName="2" name=" Transaction_ID " queryTableFieldId="2" dataDxfId="31"/>
    <tableColumn id="3" xr3:uid="{1943EC93-6C77-4BC0-A2E1-A90E49F38DE9}" uniqueName="3" name=" Product_Name " queryTableFieldId="3" dataDxfId="30"/>
    <tableColumn id="4" xr3:uid="{480E02FB-ED46-451B-BE57-DD491C6D2345}" uniqueName="4" name=" Region" queryTableFieldId="4" dataDxfId="29"/>
    <tableColumn id="5" xr3:uid="{4BEC7161-FD7C-4E9C-9850-4113E49FCDDE}" uniqueName="5" name="Product" queryTableFieldId="5" dataDxfId="28"/>
    <tableColumn id="9" xr3:uid="{5ECF1ECF-B524-4D40-B755-2F773503E11A}" uniqueName="9" name="Code " queryTableFieldId="9" dataDxfId="27"/>
    <tableColumn id="8" xr3:uid="{87489222-795A-4159-BC93-63245F66485E}" uniqueName="8" name="Sales amount" queryTableFieldId="11" dataDxfId="26"/>
    <tableColumn id="6" xr3:uid="{C57271F4-FFD3-47D6-AC9E-CB3221777EF9}" uniqueName="6" name=" Quantity " queryTableFieldId="6" dataDxfId="25"/>
    <tableColumn id="7" xr3:uid="{3860B1EB-10AA-493A-9ECA-67743FF13D94}" uniqueName="7" name=" Date       " queryTableFieldId="7" dataDxfId="24"/>
    <tableColumn id="1" xr3:uid="{3B5A3CF6-AD96-44D6-9C1D-32F32012C732}" uniqueName="1" name="Clean sales" queryTableFieldId="10" dataDxfId="23">
      <calculatedColumnFormula>_xlfn.NUMBERVALUE(SUBSTITUTE(SUBSTITUTE(SUBSTITUTE(F2,"$",""),"€","")," USD",""),".",",")</calculatedColumnFormula>
    </tableColumn>
    <tableColumn id="11" xr3:uid="{D1D4092C-D515-46A1-8DF0-BC523CAC5D27}" uniqueName="11" name="Clean Quantity" queryTableFieldId="13" dataDxfId="22">
      <calculatedColumnFormula>IF(ISNUMBER(G2),G2,IFERROR(MATCH(TRIM(LOWER(G2)),{"one";"two";"three";"four";"five";"six";"seven";"eight";"nine";"ten"},0),""))</calculatedColumnFormula>
    </tableColumn>
    <tableColumn id="12" xr3:uid="{5A2DC1BE-1E73-4610-BA37-D98231A716C0}" uniqueName="12" name="Clean Product" queryTableFieldId="14" dataDxfId="21">
      <calculatedColumnFormula>PROPER(TRIM(A2))</calculatedColumnFormula>
    </tableColumn>
    <tableColumn id="15" xr3:uid="{AC6BAD51-DC77-480F-B074-719A06514577}" uniqueName="15" name="Valid Record" queryTableFieldId="17" dataDxfId="20">
      <calculatedColumnFormula>IF(AND(ISNUMBER(_xlfn.NUMBERVALUE(SUBSTITUTE(SUBSTITUTE(SUBSTITUTE(F2,"$",""),"€","")," USD",""),".",",")),
        ISNUMBER(IFERROR(MATCH(TRIM(LOWER(G2)),{"one";"two";"three";"four";"five";"six";"seven";"eight";"nine";"ten"},0), _xlfn.NUMBERVALUE(G2))),
        _xlfn.NUMBERVALUE(SUBSTITUTE(SUBSTITUTE(SUBSTITUTE(F2,"$",""),"€","")," USD",""),".",",")&gt;0,
        IFERROR(MATCH(TRIM(LOWER(G2)),{"one";"two";"three";"four";"five";"six";"seven";"eight";"nine";"ten"},0), _xlfn.NUMBERVALUE(G2))&gt;0),
   "Valid","Invalid")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1B266-A6F3-445E-907D-77619B0DDBB3}" name="Dataset_example13" displayName="Dataset_example13" ref="A1:F13" tableType="queryTable" totalsRowShown="0">
  <autoFilter ref="A1:F13" xr:uid="{D121B266-A6F3-445E-907D-77619B0DDBB3}"/>
  <tableColumns count="6">
    <tableColumn id="2" xr3:uid="{886D5C41-50A3-488E-A436-C30F7621A183}" uniqueName="2" name=" Transaction_ID " queryTableFieldId="2" dataDxfId="38"/>
    <tableColumn id="3" xr3:uid="{9972C0F7-FB8A-48D3-8DD4-A0B2AC39286D}" uniqueName="3" name=" Product_Name " queryTableFieldId="3" dataDxfId="37"/>
    <tableColumn id="4" xr3:uid="{39CEF584-77F4-4252-AEDD-2668099D6B68}" uniqueName="4" name=" Region_Product_Code " queryTableFieldId="4" dataDxfId="36"/>
    <tableColumn id="5" xr3:uid="{A22C8F36-8E7F-4C24-AB58-673E4F3790AD}" uniqueName="5" name=" Sales_Amount " queryTableFieldId="5" dataDxfId="35"/>
    <tableColumn id="6" xr3:uid="{68894A4D-D1AC-4162-B6BC-AD4FD72D9995}" uniqueName="6" name=" Quantity " queryTableFieldId="6" dataDxfId="34"/>
    <tableColumn id="7" xr3:uid="{44A6D2EB-0895-494E-820F-4B61239744BB}" uniqueName="7" name=" Date       " queryTableFieldId="7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A0C2-7330-41CA-A2D0-504FF7B84F3F}">
  <dimension ref="A1:L4"/>
  <sheetViews>
    <sheetView workbookViewId="0">
      <selection activeCell="A3" sqref="A3:L4"/>
    </sheetView>
  </sheetViews>
  <sheetFormatPr defaultRowHeight="14.5"/>
  <cols>
    <col min="1" max="1" width="16.36328125" bestFit="1" customWidth="1"/>
    <col min="2" max="2" width="16.1796875" bestFit="1" customWidth="1"/>
    <col min="3" max="3" width="9.1796875" bestFit="1" customWidth="1"/>
    <col min="4" max="4" width="11.1796875" bestFit="1" customWidth="1"/>
    <col min="5" max="5" width="8.81640625" bestFit="1" customWidth="1"/>
    <col min="6" max="6" width="14.453125" bestFit="1" customWidth="1"/>
    <col min="7" max="7" width="11" bestFit="1" customWidth="1"/>
    <col min="8" max="8" width="10.81640625" bestFit="1" customWidth="1"/>
    <col min="9" max="9" width="12.7265625" bestFit="1" customWidth="1"/>
    <col min="10" max="10" width="15.6328125" bestFit="1" customWidth="1"/>
    <col min="11" max="11" width="14.90625" bestFit="1" customWidth="1"/>
    <col min="12" max="12" width="13.6328125" bestFit="1" customWidth="1"/>
  </cols>
  <sheetData>
    <row r="1" spans="1:12">
      <c r="A1" s="8" t="s">
        <v>98</v>
      </c>
    </row>
    <row r="3" spans="1:12">
      <c r="A3" t="s">
        <v>0</v>
      </c>
      <c r="B3" t="s">
        <v>1</v>
      </c>
      <c r="C3" t="s">
        <v>51</v>
      </c>
      <c r="D3" t="s">
        <v>52</v>
      </c>
      <c r="E3" t="s">
        <v>53</v>
      </c>
      <c r="F3" t="s">
        <v>62</v>
      </c>
      <c r="G3" t="s">
        <v>4</v>
      </c>
      <c r="H3" t="s">
        <v>5</v>
      </c>
      <c r="I3" t="s">
        <v>61</v>
      </c>
      <c r="J3" t="s">
        <v>64</v>
      </c>
      <c r="K3" t="s">
        <v>68</v>
      </c>
      <c r="L3" t="s">
        <v>72</v>
      </c>
    </row>
    <row r="4" spans="1:12">
      <c r="A4" t="s">
        <v>27</v>
      </c>
      <c r="B4" t="s">
        <v>28</v>
      </c>
      <c r="C4" t="s">
        <v>56</v>
      </c>
      <c r="D4" t="s">
        <v>49</v>
      </c>
      <c r="E4" t="s">
        <v>57</v>
      </c>
      <c r="F4" t="s">
        <v>29</v>
      </c>
      <c r="G4" t="s">
        <v>22</v>
      </c>
      <c r="H4" t="s">
        <v>23</v>
      </c>
      <c r="I4">
        <v>900</v>
      </c>
      <c r="J4" t="s">
        <v>97</v>
      </c>
      <c r="K4" t="s">
        <v>79</v>
      </c>
      <c r="L4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C78B-796C-4DB0-9623-D5D62C9D4CCA}">
  <dimension ref="A1:P44"/>
  <sheetViews>
    <sheetView tabSelected="1" zoomScale="82" workbookViewId="0">
      <selection activeCell="E18" sqref="E18"/>
    </sheetView>
  </sheetViews>
  <sheetFormatPr defaultRowHeight="18.5"/>
  <cols>
    <col min="1" max="1" width="17.7265625" style="2" customWidth="1"/>
    <col min="2" max="2" width="17.26953125" style="2" customWidth="1"/>
    <col min="3" max="3" width="23" style="2" customWidth="1"/>
    <col min="4" max="4" width="15.7265625" style="2" customWidth="1"/>
    <col min="5" max="5" width="15.26953125" style="2" customWidth="1"/>
    <col min="6" max="6" width="16.54296875" style="2" customWidth="1"/>
    <col min="7" max="7" width="13.08984375" style="2" customWidth="1"/>
    <col min="8" max="8" width="13.7265625" style="2" customWidth="1"/>
    <col min="9" max="9" width="13.90625" style="2" customWidth="1"/>
    <col min="10" max="10" width="12" style="2" customWidth="1"/>
    <col min="11" max="11" width="14.36328125" style="2" customWidth="1"/>
    <col min="12" max="12" width="15.1796875" style="2" customWidth="1"/>
    <col min="13" max="13" width="15.453125" style="2" customWidth="1"/>
    <col min="14" max="14" width="15.36328125" style="2" bestFit="1" customWidth="1"/>
    <col min="15" max="15" width="19.6328125" style="2" bestFit="1" customWidth="1"/>
    <col min="16" max="16" width="16.7265625" style="2" bestFit="1" customWidth="1"/>
    <col min="17" max="16384" width="8.7265625" style="2"/>
  </cols>
  <sheetData>
    <row r="1" spans="1:16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62</v>
      </c>
      <c r="G1" s="2" t="s">
        <v>4</v>
      </c>
      <c r="H1" s="2" t="s">
        <v>5</v>
      </c>
      <c r="I1" s="2" t="s">
        <v>61</v>
      </c>
      <c r="J1" s="2" t="s">
        <v>64</v>
      </c>
      <c r="K1" s="2" t="s">
        <v>68</v>
      </c>
      <c r="L1" s="2" t="s">
        <v>72</v>
      </c>
      <c r="N1" s="3" t="s">
        <v>72</v>
      </c>
      <c r="O1" s="2" t="s">
        <v>89</v>
      </c>
    </row>
    <row r="2" spans="1:16">
      <c r="A2" s="2" t="s">
        <v>6</v>
      </c>
      <c r="B2" s="2" t="s">
        <v>7</v>
      </c>
      <c r="C2" s="2" t="s">
        <v>54</v>
      </c>
      <c r="D2" s="2" t="s">
        <v>47</v>
      </c>
      <c r="E2" s="2" t="s">
        <v>55</v>
      </c>
      <c r="F2" s="2" t="s">
        <v>9</v>
      </c>
      <c r="G2" s="2" t="s">
        <v>10</v>
      </c>
      <c r="H2" s="2" t="s">
        <v>11</v>
      </c>
      <c r="I2" s="4">
        <f t="shared" ref="I2:I13" si="0">_xlfn.NUMBERVALUE(SUBSTITUTE(SUBSTITUTE(SUBSTITUTE(F2,"$",""),"€","")," USD",""),".",",")</f>
        <v>1200</v>
      </c>
      <c r="J2" s="5" t="str">
        <f>IF(ISNUMBER(G2),G2,IFERROR(MATCH(TRIM(LOWER(G2)),{"one";"two";"three";"four";"five";"six";"seven";"eight";"nine";"ten"},0),""))</f>
        <v/>
      </c>
      <c r="K2" s="5" t="str">
        <f t="shared" ref="K2:K13" si="1">PROPER(TRIM(A2))</f>
        <v>1001</v>
      </c>
      <c r="L2" s="5" t="str">
        <f>IF(AND(ISNUMBER(_xlfn.NUMBERVALUE(SUBSTITUTE(SUBSTITUTE(SUBSTITUTE(F2,"$",""),"€","")," USD",""),".",",")),
        ISNUMBER(IFERROR(MATCH(TRIM(LOWER(G2)),{"one";"two";"three";"four";"five";"six";"seven";"eight";"nine";"ten"},0), _xlfn.NUMBERVALUE(G2))),
        _xlfn.NUMBERVALUE(SUBSTITUTE(SUBSTITUTE(SUBSTITUTE(F2,"$",""),"€","")," USD",""),".",",")&gt;0,
        IFERROR(MATCH(TRIM(LOWER(G2)),{"one";"two";"three";"four";"five";"six";"seven";"eight";"nine";"ten"},0), _xlfn.NUMBERVALUE(G2))&gt;0),
   "Valid","Invalid")</f>
        <v>Valid</v>
      </c>
    </row>
    <row r="3" spans="1:16">
      <c r="A3" s="2" t="s">
        <v>12</v>
      </c>
      <c r="B3" s="2" t="s">
        <v>13</v>
      </c>
      <c r="C3" s="2" t="s">
        <v>54</v>
      </c>
      <c r="D3" s="2" t="s">
        <v>47</v>
      </c>
      <c r="E3" s="2" t="s">
        <v>55</v>
      </c>
      <c r="F3" s="2" t="s">
        <v>14</v>
      </c>
      <c r="G3" s="6" t="s">
        <v>65</v>
      </c>
      <c r="H3" s="2" t="s">
        <v>11</v>
      </c>
      <c r="I3" s="4">
        <f t="shared" si="0"/>
        <v>1200</v>
      </c>
      <c r="J3" s="5">
        <f>IF(ISNUMBER(G3),G3,IFERROR(MATCH(TRIM(LOWER(G3)),{"one";"two";"three";"four";"five";"six";"seven";"eight";"nine";"ten"},0),""))</f>
        <v>2</v>
      </c>
      <c r="K3" s="5" t="str">
        <f t="shared" si="1"/>
        <v>1002</v>
      </c>
      <c r="L3" s="5" t="str">
        <f>IF(AND(ISNUMBER(_xlfn.NUMBERVALUE(SUBSTITUTE(SUBSTITUTE(SUBSTITUTE(F3,"$",""),"€","")," USD",""),".",",")),
        ISNUMBER(IFERROR(MATCH(TRIM(LOWER(G3)),{"one";"two";"three";"four";"five";"six";"seven";"eight";"nine";"ten"},0), _xlfn.NUMBERVALUE(G3))),
        _xlfn.NUMBERVALUE(SUBSTITUTE(SUBSTITUTE(SUBSTITUTE(F3,"$",""),"€","")," USD",""),".",",")&gt;0,
        IFERROR(MATCH(TRIM(LOWER(G3)),{"one";"two";"three";"four";"five";"six";"seven";"eight";"nine";"ten"},0), _xlfn.NUMBERVALUE(G3))&gt;0),
   "Valid","Invalid")</f>
        <v>Valid</v>
      </c>
      <c r="N3" s="3" t="s">
        <v>68</v>
      </c>
      <c r="O3" s="2" t="s">
        <v>88</v>
      </c>
      <c r="P3" s="2" t="s">
        <v>87</v>
      </c>
    </row>
    <row r="4" spans="1:16">
      <c r="A4" s="2" t="s">
        <v>15</v>
      </c>
      <c r="B4" s="2" t="s">
        <v>16</v>
      </c>
      <c r="C4" s="2" t="s">
        <v>54</v>
      </c>
      <c r="D4" s="2" t="s">
        <v>47</v>
      </c>
      <c r="E4" s="2" t="s">
        <v>55</v>
      </c>
      <c r="F4" s="2" t="s">
        <v>17</v>
      </c>
      <c r="G4" s="2" t="s">
        <v>48</v>
      </c>
      <c r="H4" s="2" t="s">
        <v>11</v>
      </c>
      <c r="I4" s="4">
        <f t="shared" si="0"/>
        <v>1200</v>
      </c>
      <c r="J4" s="5">
        <f>IF(ISNUMBER(G4),G4,IFERROR(MATCH(TRIM(LOWER(G4)),{"one";"two";"three";"four";"five";"six";"seven";"eight";"nine";"ten"},0),""))</f>
        <v>2</v>
      </c>
      <c r="K4" s="5" t="str">
        <f t="shared" si="1"/>
        <v>1003</v>
      </c>
      <c r="L4" s="5" t="str">
        <f>IF(AND(ISNUMBER(_xlfn.NUMBERVALUE(SUBSTITUTE(SUBSTITUTE(SUBSTITUTE(F4,"$",""),"€","")," USD",""),".",",")),
        ISNUMBER(IFERROR(MATCH(TRIM(LOWER(G4)),{"one";"two";"three";"four";"five";"six";"seven";"eight";"nine";"ten"},0), _xlfn.NUMBERVALUE(G4))),
        _xlfn.NUMBERVALUE(SUBSTITUTE(SUBSTITUTE(SUBSTITUTE(F4,"$",""),"€","")," USD",""),".",",")&gt;0,
        IFERROR(MATCH(TRIM(LOWER(G4)),{"one";"two";"three";"four";"five";"six";"seven";"eight";"nine";"ten"},0), _xlfn.NUMBERVALUE(G4))&gt;0),
   "Valid","Invalid")</f>
        <v>Valid</v>
      </c>
      <c r="N4" s="6" t="s">
        <v>74</v>
      </c>
      <c r="O4" s="5">
        <v>0</v>
      </c>
      <c r="P4" s="5">
        <v>1200</v>
      </c>
    </row>
    <row r="5" spans="1:16">
      <c r="A5" s="2" t="s">
        <v>18</v>
      </c>
      <c r="B5" s="2" t="s">
        <v>19</v>
      </c>
      <c r="C5" s="2" t="s">
        <v>56</v>
      </c>
      <c r="D5" s="2" t="s">
        <v>49</v>
      </c>
      <c r="E5" s="2" t="s">
        <v>57</v>
      </c>
      <c r="F5" s="2" t="s">
        <v>21</v>
      </c>
      <c r="G5" s="2" t="s">
        <v>67</v>
      </c>
      <c r="H5" s="2" t="s">
        <v>23</v>
      </c>
      <c r="I5" s="4">
        <f t="shared" si="0"/>
        <v>900</v>
      </c>
      <c r="J5" s="5">
        <f>IF(ISNUMBER(G5),G5,IFERROR(MATCH(TRIM(LOWER(G5)),{"one";"two";"three";"four";"five";"six";"seven";"eight";"nine";"ten"},0),""))</f>
        <v>1</v>
      </c>
      <c r="K5" s="5" t="str">
        <f t="shared" si="1"/>
        <v>1004</v>
      </c>
      <c r="L5" s="5" t="str">
        <f>IF(AND(ISNUMBER(_xlfn.NUMBERVALUE(SUBSTITUTE(SUBSTITUTE(SUBSTITUTE(F5,"$",""),"€","")," USD",""),".",",")),
        ISNUMBER(IFERROR(MATCH(TRIM(LOWER(G5)),{"one";"two";"three";"four";"five";"six";"seven";"eight";"nine";"ten"},0), _xlfn.NUMBERVALUE(G5))),
        _xlfn.NUMBERVALUE(SUBSTITUTE(SUBSTITUTE(SUBSTITUTE(F5,"$",""),"€","")," USD",""),".",",")&gt;0,
        IFERROR(MATCH(TRIM(LOWER(G5)),{"one";"two";"three";"four";"five";"six";"seven";"eight";"nine";"ten"},0), _xlfn.NUMBERVALUE(G5))&gt;0),
   "Valid","Invalid")</f>
        <v>Valid</v>
      </c>
      <c r="N5" s="6" t="s">
        <v>75</v>
      </c>
      <c r="O5" s="5">
        <v>2</v>
      </c>
      <c r="P5" s="5">
        <v>1200</v>
      </c>
    </row>
    <row r="6" spans="1:16">
      <c r="A6" s="2" t="s">
        <v>24</v>
      </c>
      <c r="B6" s="2" t="s">
        <v>25</v>
      </c>
      <c r="C6" s="2" t="s">
        <v>56</v>
      </c>
      <c r="D6" s="2" t="s">
        <v>49</v>
      </c>
      <c r="E6" s="2" t="s">
        <v>57</v>
      </c>
      <c r="F6" s="2" t="s">
        <v>26</v>
      </c>
      <c r="G6" s="2" t="s">
        <v>22</v>
      </c>
      <c r="H6" s="2" t="s">
        <v>23</v>
      </c>
      <c r="I6" s="4">
        <f t="shared" si="0"/>
        <v>900</v>
      </c>
      <c r="J6" s="5" t="str">
        <f>IF(ISNUMBER(G6),G6,IFERROR(MATCH(TRIM(LOWER(G6)),{"one";"two";"three";"four";"five";"six";"seven";"eight";"nine";"ten"},0),""))</f>
        <v/>
      </c>
      <c r="K6" s="5" t="str">
        <f t="shared" si="1"/>
        <v>1005</v>
      </c>
      <c r="L6" s="5" t="str">
        <f>IF(AND(ISNUMBER(_xlfn.NUMBERVALUE(SUBSTITUTE(SUBSTITUTE(SUBSTITUTE(F6,"$",""),"€","")," USD",""),".",",")),
        ISNUMBER(IFERROR(MATCH(TRIM(LOWER(G6)),{"one";"two";"three";"four";"five";"six";"seven";"eight";"nine";"ten"},0), _xlfn.NUMBERVALUE(G6))),
        _xlfn.NUMBERVALUE(SUBSTITUTE(SUBSTITUTE(SUBSTITUTE(F6,"$",""),"€","")," USD",""),".",",")&gt;0,
        IFERROR(MATCH(TRIM(LOWER(G6)),{"one";"two";"three";"four";"five";"six";"seven";"eight";"nine";"ten"},0), _xlfn.NUMBERVALUE(G6))&gt;0),
   "Valid","Invalid")</f>
        <v>Valid</v>
      </c>
      <c r="N6" s="6" t="s">
        <v>76</v>
      </c>
      <c r="O6" s="5">
        <v>2</v>
      </c>
      <c r="P6" s="5">
        <v>1200</v>
      </c>
    </row>
    <row r="7" spans="1:16">
      <c r="A7" s="2" t="s">
        <v>27</v>
      </c>
      <c r="B7" s="2" t="s">
        <v>28</v>
      </c>
      <c r="C7" s="2" t="s">
        <v>56</v>
      </c>
      <c r="D7" s="2" t="s">
        <v>49</v>
      </c>
      <c r="E7" s="2" t="s">
        <v>57</v>
      </c>
      <c r="F7" s="2" t="s">
        <v>29</v>
      </c>
      <c r="G7" s="2" t="s">
        <v>22</v>
      </c>
      <c r="H7" s="2" t="s">
        <v>23</v>
      </c>
      <c r="I7" s="4">
        <f t="shared" si="0"/>
        <v>900</v>
      </c>
      <c r="J7" s="5" t="str">
        <f>IF(ISNUMBER(G7),G7,IFERROR(MATCH(TRIM(LOWER(G7)),{"one";"two";"three";"four";"five";"six";"seven";"eight";"nine";"ten"},0),""))</f>
        <v/>
      </c>
      <c r="K7" s="5" t="str">
        <f t="shared" si="1"/>
        <v>1006</v>
      </c>
      <c r="L7" s="5" t="str">
        <f>IF(AND(ISNUMBER(_xlfn.NUMBERVALUE(SUBSTITUTE(SUBSTITUTE(SUBSTITUTE(F7,"$",""),"€","")," USD",""),".",",")),
        ISNUMBER(IFERROR(MATCH(TRIM(LOWER(G7)),{"one";"two";"three";"four";"five";"six";"seven";"eight";"nine";"ten"},0), _xlfn.NUMBERVALUE(G7))),
        _xlfn.NUMBERVALUE(SUBSTITUTE(SUBSTITUTE(SUBSTITUTE(F7,"$",""),"€","")," USD",""),".",",")&gt;0,
        IFERROR(MATCH(TRIM(LOWER(G7)),{"one";"two";"three";"four";"five";"six";"seven";"eight";"nine";"ten"},0), _xlfn.NUMBERVALUE(G7))&gt;0),
   "Valid","Invalid")</f>
        <v>Valid</v>
      </c>
      <c r="N7" s="6" t="s">
        <v>77</v>
      </c>
      <c r="O7" s="5">
        <v>1</v>
      </c>
      <c r="P7" s="5">
        <v>900</v>
      </c>
    </row>
    <row r="8" spans="1:16">
      <c r="A8" s="2" t="s">
        <v>30</v>
      </c>
      <c r="B8" s="2" t="s">
        <v>31</v>
      </c>
      <c r="C8" s="2" t="s">
        <v>54</v>
      </c>
      <c r="D8" s="2" t="s">
        <v>58</v>
      </c>
      <c r="E8" s="2" t="s">
        <v>59</v>
      </c>
      <c r="F8" s="2" t="s">
        <v>33</v>
      </c>
      <c r="G8" s="2" t="s">
        <v>22</v>
      </c>
      <c r="H8" s="2" t="s">
        <v>34</v>
      </c>
      <c r="I8" s="4">
        <f t="shared" si="0"/>
        <v>2000</v>
      </c>
      <c r="J8" s="5" t="str">
        <f>IF(ISNUMBER(G8),G8,IFERROR(MATCH(TRIM(LOWER(G8)),{"one";"two";"three";"four";"five";"six";"seven";"eight";"nine";"ten"},0),""))</f>
        <v/>
      </c>
      <c r="K8" s="5" t="str">
        <f t="shared" si="1"/>
        <v>1007</v>
      </c>
      <c r="L8" s="5" t="str">
        <f>IF(AND(ISNUMBER(_xlfn.NUMBERVALUE(SUBSTITUTE(SUBSTITUTE(SUBSTITUTE(F8,"$",""),"€","")," USD",""),".",",")),
        ISNUMBER(IFERROR(MATCH(TRIM(LOWER(G8)),{"one";"two";"three";"four";"five";"six";"seven";"eight";"nine";"ten"},0), _xlfn.NUMBERVALUE(G8))),
        _xlfn.NUMBERVALUE(SUBSTITUTE(SUBSTITUTE(SUBSTITUTE(F8,"$",""),"€","")," USD",""),".",",")&gt;0,
        IFERROR(MATCH(TRIM(LOWER(G8)),{"one";"two";"three";"four";"five";"six";"seven";"eight";"nine";"ten"},0), _xlfn.NUMBERVALUE(G8))&gt;0),
   "Valid","Invalid")</f>
        <v>Valid</v>
      </c>
      <c r="N8" s="6" t="s">
        <v>78</v>
      </c>
      <c r="O8" s="5">
        <v>0</v>
      </c>
      <c r="P8" s="5">
        <v>900</v>
      </c>
    </row>
    <row r="9" spans="1:16">
      <c r="A9" s="2" t="s">
        <v>35</v>
      </c>
      <c r="B9" s="2" t="s">
        <v>36</v>
      </c>
      <c r="C9" s="2" t="s">
        <v>54</v>
      </c>
      <c r="D9" s="2" t="s">
        <v>58</v>
      </c>
      <c r="E9" s="2" t="s">
        <v>59</v>
      </c>
      <c r="F9" s="2" t="s">
        <v>37</v>
      </c>
      <c r="G9" s="2" t="s">
        <v>22</v>
      </c>
      <c r="H9" s="2" t="s">
        <v>34</v>
      </c>
      <c r="I9" s="4">
        <f t="shared" si="0"/>
        <v>2000</v>
      </c>
      <c r="J9" s="5" t="str">
        <f>IF(ISNUMBER(G9),G9,IFERROR(MATCH(TRIM(LOWER(G9)),{"one";"two";"three";"four";"five";"six";"seven";"eight";"nine";"ten"},0),""))</f>
        <v/>
      </c>
      <c r="K9" s="5" t="str">
        <f t="shared" si="1"/>
        <v>1008</v>
      </c>
      <c r="L9" s="5" t="str">
        <f>IF(AND(ISNUMBER(_xlfn.NUMBERVALUE(SUBSTITUTE(SUBSTITUTE(SUBSTITUTE(F9,"$",""),"€","")," USD",""),".",",")),
        ISNUMBER(IFERROR(MATCH(TRIM(LOWER(G9)),{"one";"two";"three";"four";"five";"six";"seven";"eight";"nine";"ten"},0), _xlfn.NUMBERVALUE(G9))),
        _xlfn.NUMBERVALUE(SUBSTITUTE(SUBSTITUTE(SUBSTITUTE(F9,"$",""),"€","")," USD",""),".",",")&gt;0,
        IFERROR(MATCH(TRIM(LOWER(G9)),{"one";"two";"three";"four";"five";"six";"seven";"eight";"nine";"ten"},0), _xlfn.NUMBERVALUE(G9))&gt;0),
   "Valid","Invalid")</f>
        <v>Valid</v>
      </c>
      <c r="N9" s="6" t="s">
        <v>79</v>
      </c>
      <c r="O9" s="5">
        <v>0</v>
      </c>
      <c r="P9" s="5">
        <v>900</v>
      </c>
    </row>
    <row r="10" spans="1:16">
      <c r="A10" s="2" t="s">
        <v>38</v>
      </c>
      <c r="B10" s="2" t="s">
        <v>39</v>
      </c>
      <c r="C10" s="2" t="s">
        <v>54</v>
      </c>
      <c r="D10" s="2" t="s">
        <v>58</v>
      </c>
      <c r="E10" s="2" t="s">
        <v>59</v>
      </c>
      <c r="F10" s="2" t="s">
        <v>40</v>
      </c>
      <c r="G10" s="2" t="s">
        <v>41</v>
      </c>
      <c r="H10" s="2" t="s">
        <v>34</v>
      </c>
      <c r="I10" s="4">
        <f t="shared" si="0"/>
        <v>2000</v>
      </c>
      <c r="J10" s="5">
        <f>IF(ISNUMBER(G10),G10,IFERROR(MATCH(TRIM(LOWER(G10)),{"one";"two";"three";"four";"five";"six";"seven";"eight";"nine";"ten"},0),""))</f>
        <v>1</v>
      </c>
      <c r="K10" s="5" t="str">
        <f t="shared" si="1"/>
        <v>1009</v>
      </c>
      <c r="L10" s="5" t="str">
        <f>IF(AND(ISNUMBER(_xlfn.NUMBERVALUE(SUBSTITUTE(SUBSTITUTE(SUBSTITUTE(F10,"$",""),"€","")," USD",""),".",",")),
        ISNUMBER(IFERROR(MATCH(TRIM(LOWER(G10)),{"one";"two";"three";"four";"five";"six";"seven";"eight";"nine";"ten"},0), _xlfn.NUMBERVALUE(G10))),
        _xlfn.NUMBERVALUE(SUBSTITUTE(SUBSTITUTE(SUBSTITUTE(F10,"$",""),"€","")," USD",""),".",",")&gt;0,
        IFERROR(MATCH(TRIM(LOWER(G10)),{"one";"two";"three";"four";"five";"six";"seven";"eight";"nine";"ten"},0), _xlfn.NUMBERVALUE(G10))&gt;0),
   "Valid","Invalid")</f>
        <v>Valid</v>
      </c>
      <c r="N10" s="6" t="s">
        <v>80</v>
      </c>
      <c r="O10" s="5">
        <v>0</v>
      </c>
      <c r="P10" s="5">
        <v>2000</v>
      </c>
    </row>
    <row r="11" spans="1:16">
      <c r="A11" s="2" t="s">
        <v>42</v>
      </c>
      <c r="B11" s="2" t="s">
        <v>43</v>
      </c>
      <c r="C11" s="2" t="s">
        <v>54</v>
      </c>
      <c r="D11" s="2" t="s">
        <v>47</v>
      </c>
      <c r="E11" s="2" t="s">
        <v>55</v>
      </c>
      <c r="F11" s="2" t="s">
        <v>9</v>
      </c>
      <c r="G11" s="2" t="s">
        <v>10</v>
      </c>
      <c r="H11" s="2" t="s">
        <v>11</v>
      </c>
      <c r="I11" s="4">
        <f t="shared" si="0"/>
        <v>1200</v>
      </c>
      <c r="J11" s="5" t="str">
        <f>IF(ISNUMBER(G11),G11,IFERROR(MATCH(TRIM(LOWER(G11)),{"one";"two";"three";"four";"five";"six";"seven";"eight";"nine";"ten"},0),""))</f>
        <v/>
      </c>
      <c r="K11" s="5" t="str">
        <f t="shared" si="1"/>
        <v>1010</v>
      </c>
      <c r="L11" s="5" t="str">
        <f>IF(AND(ISNUMBER(_xlfn.NUMBERVALUE(SUBSTITUTE(SUBSTITUTE(SUBSTITUTE(F11,"$",""),"€","")," USD",""),".",",")),
        ISNUMBER(IFERROR(MATCH(TRIM(LOWER(G11)),{"one";"two";"three";"four";"five";"six";"seven";"eight";"nine";"ten"},0), _xlfn.NUMBERVALUE(G11))),
        _xlfn.NUMBERVALUE(SUBSTITUTE(SUBSTITUTE(SUBSTITUTE(F11,"$",""),"€","")," USD",""),".",",")&gt;0,
        IFERROR(MATCH(TRIM(LOWER(G11)),{"one";"two";"three";"four";"five";"six";"seven";"eight";"nine";"ten"},0), _xlfn.NUMBERVALUE(G11))&gt;0),
   "Valid","Invalid")</f>
        <v>Valid</v>
      </c>
      <c r="N11" s="6" t="s">
        <v>81</v>
      </c>
      <c r="O11" s="5">
        <v>0</v>
      </c>
      <c r="P11" s="5">
        <v>2000</v>
      </c>
    </row>
    <row r="12" spans="1:16">
      <c r="A12" s="2" t="s">
        <v>44</v>
      </c>
      <c r="B12" s="2" t="s">
        <v>45</v>
      </c>
      <c r="C12" s="2" t="s">
        <v>54</v>
      </c>
      <c r="D12" s="2" t="s">
        <v>47</v>
      </c>
      <c r="E12" s="2" t="s">
        <v>55</v>
      </c>
      <c r="F12" s="2" t="s">
        <v>9</v>
      </c>
      <c r="G12" s="2" t="s">
        <v>10</v>
      </c>
      <c r="H12" s="2" t="s">
        <v>11</v>
      </c>
      <c r="I12" s="4">
        <f t="shared" si="0"/>
        <v>1200</v>
      </c>
      <c r="J12" s="5" t="str">
        <f>IF(ISNUMBER(G12),G12,IFERROR(MATCH(TRIM(LOWER(G12)),{"one";"two";"three";"four";"five";"six";"seven";"eight";"nine";"ten"},0),""))</f>
        <v/>
      </c>
      <c r="K12" s="5" t="str">
        <f t="shared" si="1"/>
        <v>1011</v>
      </c>
      <c r="L12" s="5" t="str">
        <f>IF(AND(ISNUMBER(_xlfn.NUMBERVALUE(SUBSTITUTE(SUBSTITUTE(SUBSTITUTE(F12,"$",""),"€","")," USD",""),".",",")),
        ISNUMBER(IFERROR(MATCH(TRIM(LOWER(G12)),{"one";"two";"three";"four";"five";"six";"seven";"eight";"nine";"ten"},0), _xlfn.NUMBERVALUE(G12))),
        _xlfn.NUMBERVALUE(SUBSTITUTE(SUBSTITUTE(SUBSTITUTE(F12,"$",""),"€","")," USD",""),".",",")&gt;0,
        IFERROR(MATCH(TRIM(LOWER(G12)),{"one";"two";"three";"four";"five";"six";"seven";"eight";"nine";"ten"},0), _xlfn.NUMBERVALUE(G12))&gt;0),
   "Valid","Invalid")</f>
        <v>Valid</v>
      </c>
      <c r="N12" s="6" t="s">
        <v>82</v>
      </c>
      <c r="O12" s="5">
        <v>1</v>
      </c>
      <c r="P12" s="5">
        <v>2000</v>
      </c>
    </row>
    <row r="13" spans="1:16">
      <c r="A13" s="2" t="s">
        <v>46</v>
      </c>
      <c r="B13" s="2" t="s">
        <v>13</v>
      </c>
      <c r="C13" s="2" t="s">
        <v>54</v>
      </c>
      <c r="D13" s="2" t="s">
        <v>47</v>
      </c>
      <c r="E13" s="2" t="s">
        <v>55</v>
      </c>
      <c r="F13" s="2" t="s">
        <v>9</v>
      </c>
      <c r="G13" s="2" t="s">
        <v>10</v>
      </c>
      <c r="H13" s="2" t="s">
        <v>11</v>
      </c>
      <c r="I13" s="4">
        <f t="shared" si="0"/>
        <v>1200</v>
      </c>
      <c r="J13" s="5" t="str">
        <f>IF(ISNUMBER(G13),G13,IFERROR(MATCH(TRIM(LOWER(G13)),{"one";"two";"three";"four";"five";"six";"seven";"eight";"nine";"ten"},0),""))</f>
        <v/>
      </c>
      <c r="K13" s="5" t="str">
        <f t="shared" si="1"/>
        <v>1012</v>
      </c>
      <c r="L13" s="5" t="str">
        <f>IF(AND(ISNUMBER(_xlfn.NUMBERVALUE(SUBSTITUTE(SUBSTITUTE(SUBSTITUTE(F13,"$",""),"€","")," USD",""),".",",")),
        ISNUMBER(IFERROR(MATCH(TRIM(LOWER(G13)),{"one";"two";"three";"four";"five";"six";"seven";"eight";"nine";"ten"},0), _xlfn.NUMBERVALUE(G13))),
        _xlfn.NUMBERVALUE(SUBSTITUTE(SUBSTITUTE(SUBSTITUTE(F13,"$",""),"€","")," USD",""),".",",")&gt;0,
        IFERROR(MATCH(TRIM(LOWER(G13)),{"one";"two";"three";"four";"five";"six";"seven";"eight";"nine";"ten"},0), _xlfn.NUMBERVALUE(G13))&gt;0),
   "Valid","Invalid")</f>
        <v>Valid</v>
      </c>
      <c r="N13" s="6" t="s">
        <v>83</v>
      </c>
      <c r="O13" s="5">
        <v>0</v>
      </c>
      <c r="P13" s="5">
        <v>1200</v>
      </c>
    </row>
    <row r="14" spans="1:16">
      <c r="N14" s="6" t="s">
        <v>84</v>
      </c>
      <c r="O14" s="5">
        <v>0</v>
      </c>
      <c r="P14" s="5">
        <v>1200</v>
      </c>
    </row>
    <row r="15" spans="1:16">
      <c r="N15" s="6" t="s">
        <v>85</v>
      </c>
      <c r="O15" s="5">
        <v>0</v>
      </c>
      <c r="P15" s="5">
        <v>1200</v>
      </c>
    </row>
    <row r="16" spans="1:16">
      <c r="A16" s="2" t="s">
        <v>50</v>
      </c>
      <c r="L16" s="2" t="s">
        <v>73</v>
      </c>
      <c r="M16" s="2">
        <f>AVERAGEIFS(Dataset_example1[Clean sales], Dataset_example1[Valid Record], "Valid")</f>
        <v>1325</v>
      </c>
      <c r="N16" s="6" t="s">
        <v>86</v>
      </c>
      <c r="O16" s="5">
        <v>6</v>
      </c>
      <c r="P16" s="5">
        <v>15900</v>
      </c>
    </row>
    <row r="17" spans="1:13">
      <c r="I17" s="2" t="str">
        <f>IF(ISNUMBER(G2),G2,
IF(LOWER(G2)="one",1,
IF(LOWER(G2)="two",2,"")))</f>
        <v/>
      </c>
    </row>
    <row r="18" spans="1:13" ht="37">
      <c r="L18" s="7" t="s">
        <v>92</v>
      </c>
      <c r="M18" s="2" cm="1">
        <f t="array" ref="M18">_xlfn.STDEV.S(_xlfn._xlws.FILTER(Dataset_example1[Clean sales], Dataset_example1[Valid Record]="Valid"))</f>
        <v>426.6678503771459</v>
      </c>
    </row>
    <row r="19" spans="1:13">
      <c r="A19" s="2" t="s">
        <v>60</v>
      </c>
    </row>
    <row r="21" spans="1:13">
      <c r="A21" s="2" t="s">
        <v>63</v>
      </c>
    </row>
    <row r="23" spans="1:13">
      <c r="A23" s="2" t="s">
        <v>66</v>
      </c>
    </row>
    <row r="25" spans="1:13">
      <c r="A25" s="2" t="s">
        <v>69</v>
      </c>
    </row>
    <row r="27" spans="1:13">
      <c r="A27" s="2" t="s">
        <v>70</v>
      </c>
    </row>
    <row r="32" spans="1:13">
      <c r="A32" s="2" t="s">
        <v>71</v>
      </c>
    </row>
    <row r="34" spans="1:2">
      <c r="A34" s="2" t="s">
        <v>90</v>
      </c>
    </row>
    <row r="36" spans="1:2">
      <c r="A36" s="2" t="s">
        <v>91</v>
      </c>
    </row>
    <row r="37" spans="1:2">
      <c r="B37" s="2" t="s">
        <v>93</v>
      </c>
    </row>
    <row r="38" spans="1:2">
      <c r="B38" s="2" t="s">
        <v>94</v>
      </c>
    </row>
    <row r="41" spans="1:2">
      <c r="A41" s="2" t="s">
        <v>95</v>
      </c>
    </row>
    <row r="44" spans="1:2">
      <c r="A44" s="2" t="s">
        <v>96</v>
      </c>
    </row>
  </sheetData>
  <phoneticPr fontId="2" type="noConversion"/>
  <conditionalFormatting sqref="E1:F13">
    <cfRule type="containsText" dxfId="32" priority="1" operator="containsText" text="Clean_Product">
      <formula>NOT(ISERROR(SEARCH("Clean_Product",E1)))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A031-5A84-49AE-816D-A14C1C74D8DB}">
  <dimension ref="A1:F13"/>
  <sheetViews>
    <sheetView workbookViewId="0">
      <selection activeCell="D2" sqref="D2:D13"/>
    </sheetView>
  </sheetViews>
  <sheetFormatPr defaultRowHeight="14.5"/>
  <cols>
    <col min="1" max="1" width="16.36328125" bestFit="1" customWidth="1"/>
    <col min="2" max="2" width="14.6328125" customWidth="1"/>
    <col min="3" max="3" width="16.453125" customWidth="1"/>
    <col min="4" max="4" width="14.81640625" customWidth="1"/>
    <col min="5" max="5" width="11.453125" customWidth="1"/>
    <col min="6" max="6" width="13.5429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s="1">
        <v>2</v>
      </c>
      <c r="F3" t="s">
        <v>11</v>
      </c>
    </row>
    <row r="4" spans="1:6">
      <c r="A4" t="s">
        <v>15</v>
      </c>
      <c r="B4" t="s">
        <v>16</v>
      </c>
      <c r="C4" t="s">
        <v>8</v>
      </c>
      <c r="D4" t="s">
        <v>17</v>
      </c>
      <c r="E4" t="s">
        <v>48</v>
      </c>
      <c r="F4" t="s">
        <v>11</v>
      </c>
    </row>
    <row r="5" spans="1:6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25</v>
      </c>
      <c r="C6" t="s">
        <v>20</v>
      </c>
      <c r="D6" t="s">
        <v>26</v>
      </c>
      <c r="E6" t="s">
        <v>22</v>
      </c>
      <c r="F6" t="s">
        <v>23</v>
      </c>
    </row>
    <row r="7" spans="1:6">
      <c r="A7" t="s">
        <v>27</v>
      </c>
      <c r="B7" t="s">
        <v>28</v>
      </c>
      <c r="C7" t="s">
        <v>20</v>
      </c>
      <c r="D7" t="s">
        <v>29</v>
      </c>
      <c r="E7" t="s">
        <v>22</v>
      </c>
      <c r="F7" t="s">
        <v>23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22</v>
      </c>
      <c r="F8" t="s">
        <v>34</v>
      </c>
    </row>
    <row r="9" spans="1:6">
      <c r="A9" t="s">
        <v>35</v>
      </c>
      <c r="B9" t="s">
        <v>36</v>
      </c>
      <c r="C9" t="s">
        <v>32</v>
      </c>
      <c r="D9" t="s">
        <v>37</v>
      </c>
      <c r="E9" t="s">
        <v>22</v>
      </c>
      <c r="F9" t="s">
        <v>34</v>
      </c>
    </row>
    <row r="10" spans="1:6">
      <c r="A10" t="s">
        <v>38</v>
      </c>
      <c r="B10" t="s">
        <v>39</v>
      </c>
      <c r="C10" t="s">
        <v>32</v>
      </c>
      <c r="D10" t="s">
        <v>40</v>
      </c>
      <c r="E10" t="s">
        <v>41</v>
      </c>
      <c r="F10" t="s">
        <v>34</v>
      </c>
    </row>
    <row r="11" spans="1:6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44</v>
      </c>
      <c r="B12" t="s">
        <v>45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46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FE47E0-A307-4A08-977A-EDF46B00A9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Dataset  used for practicing</vt:lpstr>
      <vt:lpstr>Original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Chithra Ganga</dc:creator>
  <cp:lastModifiedBy>Chithra Ganga</cp:lastModifiedBy>
  <dcterms:created xsi:type="dcterms:W3CDTF">2026-03-31T20:42:58Z</dcterms:created>
  <dcterms:modified xsi:type="dcterms:W3CDTF">2026-04-08T00:17:02Z</dcterms:modified>
</cp:coreProperties>
</file>